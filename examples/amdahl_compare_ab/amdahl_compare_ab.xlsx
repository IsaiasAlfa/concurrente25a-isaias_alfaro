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ías\Documents\"/>
    </mc:Choice>
  </mc:AlternateContent>
  <xr:revisionPtr revIDLastSave="0" documentId="13_ncr:1_{AF7551FA-62DB-4F90-BBBB-0F338DE73676}" xr6:coauthVersionLast="47" xr6:coauthVersionMax="47" xr10:uidLastSave="{00000000-0000-0000-0000-000000000000}"/>
  <bookViews>
    <workbookView xWindow="-108" yWindow="-108" windowWidth="23256" windowHeight="12456" xr2:uid="{584922A1-5D7B-43DD-B252-D3B61C8201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19" i="1"/>
  <c r="B19" i="1"/>
  <c r="C18" i="1"/>
  <c r="B18" i="1"/>
  <c r="B15" i="1"/>
  <c r="B14" i="1"/>
  <c r="C3" i="1"/>
  <c r="B11" i="1"/>
  <c r="B10" i="1"/>
  <c r="B9" i="1"/>
  <c r="C8" i="1"/>
  <c r="C10" i="1" s="1"/>
  <c r="B8" i="1"/>
  <c r="C9" i="1" l="1"/>
  <c r="C11" i="1" s="1"/>
  <c r="C14" i="1" s="1"/>
  <c r="C15" i="1" s="1"/>
</calcChain>
</file>

<file path=xl/sharedStrings.xml><?xml version="1.0" encoding="utf-8"?>
<sst xmlns="http://schemas.openxmlformats.org/spreadsheetml/2006/main" count="18" uniqueCount="18">
  <si>
    <t>Datos seriales</t>
  </si>
  <si>
    <t>Duracion serial (min)</t>
  </si>
  <si>
    <t>?10 min &lt;= 20 min</t>
  </si>
  <si>
    <t>Paralelizable (%)</t>
  </si>
  <si>
    <t>Paralizado</t>
  </si>
  <si>
    <t>Duracion paralelizable (min)</t>
  </si>
  <si>
    <t>Duracion paralelizado (min)</t>
  </si>
  <si>
    <t>Duracion no paralelizada (min)</t>
  </si>
  <si>
    <t>Duracion total (min)</t>
  </si>
  <si>
    <t>A</t>
  </si>
  <si>
    <t>B</t>
  </si>
  <si>
    <t>Metrics</t>
  </si>
  <si>
    <t>Speedup</t>
  </si>
  <si>
    <t>Efficiency</t>
  </si>
  <si>
    <t>Maximum speedup</t>
  </si>
  <si>
    <t>Workers for 20min</t>
  </si>
  <si>
    <t>Amdahl</t>
  </si>
  <si>
    <t>Nucleos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</si>
</sst>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0DC6-9288-4908-85B3-2C024D131981}">
  <dimension ref="A1:C19"/>
  <sheetViews>
    <sheetView tabSelected="1" workbookViewId="0">
      <selection activeCell="E19" sqref="E19"/>
    </sheetView>
  </sheetViews>
  <sheetFormatPr baseColWidth="10" defaultRowHeight="14.4" x14ac:dyDescent="0.3"/>
  <cols>
    <col min="1" max="1" width="25.44140625" bestFit="1" customWidth="1"/>
  </cols>
  <sheetData>
    <row r="1" spans="1:3" x14ac:dyDescent="0.3">
      <c r="A1" s="2" t="s">
        <v>0</v>
      </c>
      <c r="B1" s="1" t="s">
        <v>9</v>
      </c>
      <c r="C1" s="1" t="s">
        <v>10</v>
      </c>
    </row>
    <row r="2" spans="1:3" x14ac:dyDescent="0.3">
      <c r="A2" t="s">
        <v>3</v>
      </c>
      <c r="B2">
        <v>78</v>
      </c>
      <c r="C2">
        <v>29</v>
      </c>
    </row>
    <row r="3" spans="1:3" x14ac:dyDescent="0.3">
      <c r="A3" t="s">
        <v>1</v>
      </c>
      <c r="B3">
        <v>69</v>
      </c>
      <c r="C3">
        <f>1/3*B3</f>
        <v>23</v>
      </c>
    </row>
    <row r="4" spans="1:3" x14ac:dyDescent="0.3">
      <c r="A4" t="s">
        <v>2</v>
      </c>
      <c r="B4">
        <v>20</v>
      </c>
      <c r="C4">
        <v>20</v>
      </c>
    </row>
    <row r="6" spans="1:3" x14ac:dyDescent="0.3">
      <c r="A6" s="2" t="s">
        <v>4</v>
      </c>
    </row>
    <row r="7" spans="1:3" x14ac:dyDescent="0.3">
      <c r="A7" t="s">
        <v>17</v>
      </c>
      <c r="B7">
        <v>8</v>
      </c>
      <c r="C7">
        <f>B7</f>
        <v>8</v>
      </c>
    </row>
    <row r="8" spans="1:3" x14ac:dyDescent="0.3">
      <c r="A8" t="s">
        <v>5</v>
      </c>
      <c r="B8">
        <f>B2/100*B3</f>
        <v>53.82</v>
      </c>
      <c r="C8">
        <f>C2/100*C3</f>
        <v>6.67</v>
      </c>
    </row>
    <row r="9" spans="1:3" x14ac:dyDescent="0.3">
      <c r="A9" t="s">
        <v>6</v>
      </c>
      <c r="B9">
        <f>B8/B7</f>
        <v>6.7275</v>
      </c>
      <c r="C9">
        <f>C8/C7</f>
        <v>0.83374999999999999</v>
      </c>
    </row>
    <row r="10" spans="1:3" x14ac:dyDescent="0.3">
      <c r="A10" t="s">
        <v>7</v>
      </c>
      <c r="B10">
        <f>B3-B8</f>
        <v>15.18</v>
      </c>
      <c r="C10">
        <f>C3-C8</f>
        <v>16.329999999999998</v>
      </c>
    </row>
    <row r="11" spans="1:3" x14ac:dyDescent="0.3">
      <c r="A11" t="s">
        <v>8</v>
      </c>
      <c r="B11">
        <f>B10+B9</f>
        <v>21.907499999999999</v>
      </c>
      <c r="C11">
        <f>C10+C9</f>
        <v>17.163749999999997</v>
      </c>
    </row>
    <row r="13" spans="1:3" x14ac:dyDescent="0.3">
      <c r="A13" s="2" t="s">
        <v>11</v>
      </c>
    </row>
    <row r="14" spans="1:3" x14ac:dyDescent="0.3">
      <c r="A14" t="s">
        <v>12</v>
      </c>
      <c r="B14">
        <f>B3/B11</f>
        <v>3.1496062992125986</v>
      </c>
      <c r="C14">
        <f>C3/C11</f>
        <v>1.3400335008375213</v>
      </c>
    </row>
    <row r="15" spans="1:3" x14ac:dyDescent="0.3">
      <c r="A15" t="s">
        <v>13</v>
      </c>
      <c r="B15">
        <f>B14/B7</f>
        <v>0.39370078740157483</v>
      </c>
      <c r="C15">
        <f>C14/C7</f>
        <v>0.16750418760469016</v>
      </c>
    </row>
    <row r="17" spans="1:3" x14ac:dyDescent="0.3">
      <c r="A17" s="2" t="s">
        <v>16</v>
      </c>
    </row>
    <row r="18" spans="1:3" x14ac:dyDescent="0.3">
      <c r="A18" t="s">
        <v>14</v>
      </c>
      <c r="B18">
        <f>B3/B10</f>
        <v>4.5454545454545459</v>
      </c>
      <c r="C18">
        <f>C3/C10</f>
        <v>1.4084507042253522</v>
      </c>
    </row>
    <row r="19" spans="1:3" x14ac:dyDescent="0.3">
      <c r="A19" t="s">
        <v>15</v>
      </c>
      <c r="B19">
        <f>+B8/(B4-B10)</f>
        <v>11.165975103734439</v>
      </c>
      <c r="C19">
        <f>+C8/(C4-C10)</f>
        <v>1.8174386920980918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ISAIAS ALBERTO ALFARO UGALDE</dc:creator>
  <cp:lastModifiedBy>ISAIAS ALBERTO ALFARO UGALDE</cp:lastModifiedBy>
  <dcterms:created xsi:type="dcterms:W3CDTF">2024-09-26T21:09:01Z</dcterms:created>
  <dcterms:modified xsi:type="dcterms:W3CDTF">2024-09-27T06:51:39Z</dcterms:modified>
</cp:coreProperties>
</file>